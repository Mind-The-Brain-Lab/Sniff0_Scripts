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nostro" sheetId="2" r:id="rId5"/>
  </sheets>
  <definedNames/>
  <calcPr/>
</workbook>
</file>

<file path=xl/sharedStrings.xml><?xml version="1.0" encoding="utf-8"?>
<sst xmlns="http://schemas.openxmlformats.org/spreadsheetml/2006/main" count="133" uniqueCount="122">
  <si>
    <t>TASK 1</t>
  </si>
  <si>
    <t>Trial composto da un apprendimento di 4 stimoli fuori dalla RM e successivamente un test old/knew con i 4 stimoli studiati + 4 nuovi</t>
  </si>
  <si>
    <t>Tempi presi da--&gt;Rai et al 2021 (compito OLD/KNEW ma loro utilizzano 6 stimoli totali)</t>
  </si>
  <si>
    <t>TASK nostro:</t>
  </si>
  <si>
    <t>Numero massimo di stimoli per RUN: 4.</t>
  </si>
  <si>
    <t>Stimoli totali: 8 (A, B, C, D - vecchi; E, F, G, H - nuovi).</t>
  </si>
  <si>
    <t>Somministrazioni totali per stimolo: Ogni stimolo deve comparire 6 volte (2 per RUN × 3 RUN).</t>
  </si>
  <si>
    <t>Equilibrio tra stimoli vecchi e nuovi: Ogni RUN dovrebbe includere 2 vecchi e 2 nuovi stimoli per bilanciare.</t>
  </si>
  <si>
    <t>FASE DI ACQUISIZIONE: (Rai et al)</t>
  </si>
  <si>
    <t>A ciascun partecipante è stato chiesto di annusare tre oli essenziali (limone, cannella e rosa) sequenzialmente per 3 cicli; l'odore è stato presentato per 10 secondi seguiti da una pausa di 20 secondi per controllare l'adattamento all'odore. La durata totale dello stadio di acquisizione è stata di 280 secondi</t>
  </si>
  <si>
    <t>A noi la fase di acquisizione durerebbe appunto 360s (30 per odore per 4 odori per 3 cicli)</t>
  </si>
  <si>
    <t>FASE DI RICONOSCIMENTO IN RM</t>
  </si>
  <si>
    <t>fixation cross</t>
  </si>
  <si>
    <t>stimuli</t>
  </si>
  <si>
    <t>ISI (rest, stimolo off, risposta)</t>
  </si>
  <si>
    <t>tempototale_trial</t>
  </si>
  <si>
    <t>tempototale_RUN</t>
  </si>
  <si>
    <t>Tempo totale task 4RUN</t>
  </si>
  <si>
    <t>Tempo totale task 2RUN</t>
  </si>
  <si>
    <t>Tempo totale task Rai et al., 2021</t>
  </si>
  <si>
    <t>ogni trial 30 sec. --&gt; 4 stimoli e li ripetiamo due volte per run per 3 RUN + 20 secondi di rest all'inizio e alla fine di ogni RUN</t>
  </si>
  <si>
    <t>Somministrazioni totali per stimolo (Rai et al., 2021; 3 RUN) : Ogni stimolo deve comparire 6 volte (2 per RUN × 3 RUN).</t>
  </si>
  <si>
    <t>Somministrazioni totali per stimolo (4 RUN : Ogni stimolo deve comparire 8 volte (2 per RUN × 4 RUN).</t>
  </si>
  <si>
    <t xml:space="preserve">Per bilanciare gli stimoli dovremmo avere 2 o 4 RUN </t>
  </si>
  <si>
    <t>RUN</t>
  </si>
  <si>
    <t>Vecchi</t>
  </si>
  <si>
    <t>Nuovi</t>
  </si>
  <si>
    <t>Ordine (esempio)</t>
  </si>
  <si>
    <t>RUN 1</t>
  </si>
  <si>
    <t>A, B</t>
  </si>
  <si>
    <t>E, F</t>
  </si>
  <si>
    <t>A, E, B, F, A, F, B, E</t>
  </si>
  <si>
    <t>A, E, B, F, B, F, A, E</t>
  </si>
  <si>
    <t>RUN 2</t>
  </si>
  <si>
    <t>C, D</t>
  </si>
  <si>
    <t>G, H</t>
  </si>
  <si>
    <t>C, G, D, H, D, H, C, G</t>
  </si>
  <si>
    <t>C, G, D, H, D, G, C, H</t>
  </si>
  <si>
    <t>RUN 3</t>
  </si>
  <si>
    <t>A, C</t>
  </si>
  <si>
    <t>E, G</t>
  </si>
  <si>
    <t>A, E, C, G, C, G, A, E</t>
  </si>
  <si>
    <t>RUN 4</t>
  </si>
  <si>
    <t>B, D</t>
  </si>
  <si>
    <t>F, H</t>
  </si>
  <si>
    <t>B, F, D, H, D, F, B, H</t>
  </si>
  <si>
    <r>
      <rPr>
        <rFont val="Arial"/>
        <b/>
        <color theme="1"/>
        <sz val="10.0"/>
      </rPr>
      <t xml:space="preserve">RISPOSTA: </t>
    </r>
    <r>
      <rPr>
        <rFont val="Arial"/>
        <b val="0"/>
        <color theme="1"/>
        <sz val="10.0"/>
      </rPr>
      <t>può essere implementata nei primi 9 secondi del rest? così poi si reimpostano 10 secondi di fixation cross e si può usare nell'analisi per fare i confronti?</t>
    </r>
  </si>
  <si>
    <t>* problema 1: abbiamo solo 4 erogatori e 8 vasetti quindi per somministrare 8 odori in 3 RUN dobbiamo fare il cambio vasetti tra un RUN e l'altro/ inoltre per fare tanti soggetti al giorno potrebbe essere un problema il riempimento dello spazio di testa</t>
  </si>
  <si>
    <t>* problema 2: task con 4 RUN dura troppo, task con 2 RUN potrebbe avere troppe poche presentazioni e di conseguenza segnale minore</t>
  </si>
  <si>
    <t>TASK 2</t>
  </si>
  <si>
    <t>Eek et al., 2023</t>
  </si>
  <si>
    <t>3 task in risonanza: Passive Smelling (PS); Odor Encoding (OE); Odor Recognition Memory (ORM) --&gt; paradigma a blocchi</t>
  </si>
  <si>
    <t>PASSIVE SMELLING (PS)</t>
  </si>
  <si>
    <t>2 odori: Vaniglia e Pesca</t>
  </si>
  <si>
    <t>4 secondi stimolo on/ 20 rest</t>
  </si>
  <si>
    <t>ordine pseudorandomico</t>
  </si>
  <si>
    <t>Totale 360 secondi</t>
  </si>
  <si>
    <t>ODOR ENCODING</t>
  </si>
  <si>
    <t>8 nuovi odori presentati (noi potremmo fare come prima, presentandone 4)</t>
  </si>
  <si>
    <t>5 secondi stimolo on/ 28 di rest--&gt; 3 secondi dopo la fine dello stimolo i partecipanti dovevano indicare (tramite pulsantiera) se avevano sentito o meno un odore (finestra di risposta= 10 sec)</t>
  </si>
  <si>
    <t>totale= 276 secondi</t>
  </si>
  <si>
    <t>ODOR RECOGNITION MEMORY (10 minuti dopo)</t>
  </si>
  <si>
    <t>16 odori: 8 old 8 new</t>
  </si>
  <si>
    <t>5 secondi stimolo on/ 28 di rest--&gt; 3 secondi dopo la fine dello stimolo i partecipanti dovevano indicare (tramite pulsantiera) se avevano sentitoun odore old/new (finestra di risposta= 10 sec)</t>
  </si>
  <si>
    <t>totale 660 secondi</t>
  </si>
  <si>
    <t>TEMPO TOTALE TASK nostra (anatomiche escluse)</t>
  </si>
  <si>
    <t>PS (360)+ OE (276)+ ORM(660)+ 600 (delay tra OE e ORM)= 1896 secondi--&gt; 31,6 minuti</t>
  </si>
  <si>
    <t>Nel nostro task dimezzando gli odori in OE (4) e in ORM (8)--&gt; 1428--&gt; 23 minuti</t>
  </si>
  <si>
    <t>Tempo totale escludendo condizione PS</t>
  </si>
  <si>
    <t>1068 s--&gt; 17 minuti</t>
  </si>
  <si>
    <t xml:space="preserve">OPPURE TASK PIù semplice di identificazione famiglia, possiamo farli con odori con i quali sono stati allenati --&gt; per verificare apprendimento/ per odori diversi stessa famiglia = generalizzazione </t>
  </si>
  <si>
    <t>TASK 3</t>
  </si>
  <si>
    <t>8 odori totali (4 totali per un timing più breve)</t>
  </si>
  <si>
    <t>4 odori training (1 ogni famiglia)--&gt; verificare apprendimento</t>
  </si>
  <si>
    <t>4 odori no training stessa famglia (1 ogni famiglia)---&gt; studiare generalizzazione apprendimenti</t>
  </si>
  <si>
    <t xml:space="preserve">Disegno a blocchi --&gt; più segnale per differenziare meglio aree che rispondono ad odori studiati e aree che rispondono a odori non studiati--&gt; MA QUALE CONDIZIONE DI CONTROLLO? </t>
  </si>
  <si>
    <t>8 Run--&gt; ogni run uno stimolo</t>
  </si>
  <si>
    <t>Ogni stimolo viene presentato 6 volte per RUN (per ottenere buon segnale dalla letteratura tra le 6 e le 8 stim.)</t>
  </si>
  <si>
    <t xml:space="preserve">Tra un RUN e l'altro psycophysical ratings: Intensità, piacevolezza, odore nuovo o già sentito (qui potrebbe essere implementata anche un old/new task in maniera semplice), famiglia odore, odore specifico. </t>
  </si>
  <si>
    <t>Blocco</t>
  </si>
  <si>
    <t>Durata Blocco</t>
  </si>
  <si>
    <t>Durata RUN (6 blocchi)</t>
  </si>
  <si>
    <t>Durata Task</t>
  </si>
  <si>
    <t xml:space="preserve">FASE ON: 10.4 </t>
  </si>
  <si>
    <t>30 s</t>
  </si>
  <si>
    <t>180s (3m)</t>
  </si>
  <si>
    <t xml:space="preserve">24m </t>
  </si>
  <si>
    <t>FASE OFF: 19.6</t>
  </si>
  <si>
    <t>potremmo usare  6 stimoli e ridurre la durata totale del task a 18 minuti</t>
  </si>
  <si>
    <t>oppure 4 e ridurla a 12 minuti--&gt; soluzione migliore per testare magari un odore per ogni famiglia (non studiato precedentemente)</t>
  </si>
  <si>
    <t>I tempi dei blocchi e dei RUN sono difficilmente riducibili: dalla letteratura si evince un numero di ripetizioni di uno stimolo tra le 6/8 per avere un buon segnale, inoltre RUN brevi sono più indicati rispetto a RUN lunghi</t>
  </si>
  <si>
    <t>TASK 4</t>
  </si>
  <si>
    <t>Yunpemg et al., 2021</t>
  </si>
  <si>
    <t xml:space="preserve">task sicuramente meno dilatato rispetto al precedente, ma ho alcuni dubbi che non riesco a risolvere dal paper </t>
  </si>
  <si>
    <t>1. in letteratura la maggior parte degli studi utilizzano un periodo di rest di almeno 20 secondi</t>
  </si>
  <si>
    <t>2. 12 blocchi per RUN mi sembrano troppi, però in totale viene un RUN da 240s  molto breve!</t>
  </si>
  <si>
    <t>TASK 5 Concordata con Prof.</t>
  </si>
  <si>
    <t>3 RUN: 1 per famiglia</t>
  </si>
  <si>
    <t>famiglie</t>
  </si>
  <si>
    <t>fruttato</t>
  </si>
  <si>
    <t>floreare</t>
  </si>
  <si>
    <t>speziato</t>
  </si>
  <si>
    <t>trial</t>
  </si>
  <si>
    <t>tot</t>
  </si>
  <si>
    <t>rest</t>
  </si>
  <si>
    <t>preparazione</t>
  </si>
  <si>
    <t>stimolo</t>
  </si>
  <si>
    <t>risposta</t>
  </si>
  <si>
    <t>ogni rieal contiene 6 ripetizione di un odore e 2 odri della stessa familgia</t>
  </si>
  <si>
    <t>numero odori</t>
  </si>
  <si>
    <t>riipetizion</t>
  </si>
  <si>
    <t>riperizioni torali</t>
  </si>
  <si>
    <t>run</t>
  </si>
  <si>
    <t>Dyn per run</t>
  </si>
  <si>
    <t>odori</t>
  </si>
  <si>
    <t>ripetizioni</t>
  </si>
  <si>
    <t>durata</t>
  </si>
  <si>
    <t>durata totale sec</t>
  </si>
  <si>
    <t>min</t>
  </si>
  <si>
    <t>tr 1,5</t>
  </si>
  <si>
    <t>run total</t>
  </si>
  <si>
    <t>min totali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</si>
</sst>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Times New Roman&quot;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4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8" fillId="0" fontId="1" numFmtId="0" xfId="0" applyBorder="1" applyFont="1"/>
    <xf borderId="4" fillId="0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2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0" Type="http://schemas.openxmlformats.org/officeDocument/2006/relationships/image" Target="../media/image7.png"/><Relationship Id="rId9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41</xdr:row>
      <xdr:rowOff>47625</xdr:rowOff>
    </xdr:from>
    <xdr:ext cx="3486150" cy="1390650"/>
    <xdr:pic>
      <xdr:nvPicPr>
        <xdr:cNvPr id="0" name="image10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57</xdr:row>
      <xdr:rowOff>47625</xdr:rowOff>
    </xdr:from>
    <xdr:ext cx="3257550" cy="1657350"/>
    <xdr:pic>
      <xdr:nvPicPr>
        <xdr:cNvPr id="0" name="image8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72</xdr:row>
      <xdr:rowOff>47625</xdr:rowOff>
    </xdr:from>
    <xdr:ext cx="9039225" cy="2047875"/>
    <xdr:pic>
      <xdr:nvPicPr>
        <xdr:cNvPr id="0" name="image2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76200</xdr:rowOff>
    </xdr:from>
    <xdr:ext cx="6286500" cy="3981450"/>
    <xdr:pic>
      <xdr:nvPicPr>
        <xdr:cNvPr id="0" name="image4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137</xdr:row>
      <xdr:rowOff>9525</xdr:rowOff>
    </xdr:from>
    <xdr:ext cx="4362450" cy="2219325"/>
    <xdr:pic>
      <xdr:nvPicPr>
        <xdr:cNvPr id="0" name="image5.pn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44</xdr:row>
      <xdr:rowOff>57150</xdr:rowOff>
    </xdr:from>
    <xdr:ext cx="3209925" cy="2571750"/>
    <xdr:pic>
      <xdr:nvPicPr>
        <xdr:cNvPr id="0" name="image1.png" title="Immagin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3</xdr:row>
      <xdr:rowOff>133350</xdr:rowOff>
    </xdr:from>
    <xdr:ext cx="5305425" cy="3152775"/>
    <xdr:pic>
      <xdr:nvPicPr>
        <xdr:cNvPr id="0" name="image9.png" title="Immagin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20</xdr:row>
      <xdr:rowOff>95250</xdr:rowOff>
    </xdr:from>
    <xdr:ext cx="3000375" cy="1428750"/>
    <xdr:pic>
      <xdr:nvPicPr>
        <xdr:cNvPr id="0" name="image3.png" title="Immagin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428625</xdr:colOff>
      <xdr:row>27</xdr:row>
      <xdr:rowOff>142875</xdr:rowOff>
    </xdr:from>
    <xdr:ext cx="2952750" cy="533400"/>
    <xdr:pic>
      <xdr:nvPicPr>
        <xdr:cNvPr id="0" name="image6.png" title="Immagin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104</xdr:row>
      <xdr:rowOff>0</xdr:rowOff>
    </xdr:from>
    <xdr:ext cx="3171825" cy="1600200"/>
    <xdr:pic>
      <xdr:nvPicPr>
        <xdr:cNvPr id="0" name="image7.png" title="Immagin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5"/>
    <col customWidth="1" min="3" max="3" width="24.88"/>
    <col customWidth="1" min="4" max="4" width="17.63"/>
    <col customWidth="1" min="6" max="6" width="14.88"/>
    <col customWidth="1" min="7" max="7" width="20.0"/>
    <col customWidth="1" min="8" max="8" width="26.0"/>
    <col customWidth="1" min="9" max="9" width="27.25"/>
  </cols>
  <sheetData>
    <row r="1">
      <c r="A1" s="1" t="s">
        <v>0</v>
      </c>
    </row>
    <row r="2">
      <c r="A2" s="2" t="s">
        <v>1</v>
      </c>
      <c r="I2" s="2"/>
    </row>
    <row r="3">
      <c r="A3" s="3" t="s">
        <v>2</v>
      </c>
    </row>
    <row r="4">
      <c r="A4" s="2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/>
    </row>
    <row r="10">
      <c r="A10" s="2" t="s">
        <v>8</v>
      </c>
      <c r="I10" s="4"/>
    </row>
    <row r="11">
      <c r="A11" s="4" t="s">
        <v>9</v>
      </c>
      <c r="I11" s="4"/>
    </row>
    <row r="12">
      <c r="A12" s="3"/>
      <c r="I12" s="4"/>
    </row>
    <row r="13">
      <c r="A13" s="3" t="s">
        <v>10</v>
      </c>
      <c r="I13" s="4"/>
    </row>
    <row r="14">
      <c r="A14" s="3"/>
      <c r="I14" s="4"/>
    </row>
    <row r="15">
      <c r="A15" s="3"/>
      <c r="I15" s="4"/>
    </row>
    <row r="16">
      <c r="A16" s="5" t="s">
        <v>11</v>
      </c>
      <c r="B16" s="6"/>
      <c r="C16" s="6"/>
      <c r="D16" s="6"/>
      <c r="E16" s="6"/>
      <c r="F16" s="6"/>
      <c r="G16" s="6"/>
      <c r="H16" s="6"/>
      <c r="I16" s="7"/>
    </row>
    <row r="17">
      <c r="A17" s="5" t="s">
        <v>12</v>
      </c>
      <c r="B17" s="5" t="s">
        <v>13</v>
      </c>
      <c r="C17" s="5" t="s">
        <v>14</v>
      </c>
      <c r="D17" s="5" t="s">
        <v>15</v>
      </c>
      <c r="E17" s="6"/>
      <c r="F17" s="5" t="s">
        <v>16</v>
      </c>
      <c r="G17" s="5" t="s">
        <v>17</v>
      </c>
      <c r="H17" s="5" t="s">
        <v>18</v>
      </c>
      <c r="I17" s="5" t="s">
        <v>19</v>
      </c>
    </row>
    <row r="18">
      <c r="A18" s="8">
        <v>1.0</v>
      </c>
      <c r="B18" s="8">
        <v>10.0</v>
      </c>
      <c r="C18" s="8">
        <v>19.0</v>
      </c>
      <c r="D18" s="6">
        <f>SUM(C18,B18,A18)</f>
        <v>30</v>
      </c>
      <c r="E18" s="6">
        <f>D18*8</f>
        <v>240</v>
      </c>
      <c r="F18" s="6">
        <f>(E18+40)/60</f>
        <v>4.666666667</v>
      </c>
      <c r="G18" s="6">
        <f>(F18*4)</f>
        <v>18.66666667</v>
      </c>
      <c r="H18" s="8">
        <f>(F18*2)</f>
        <v>9.333333333</v>
      </c>
      <c r="I18" s="6">
        <f>(F18*3)</f>
        <v>14</v>
      </c>
    </row>
    <row r="20">
      <c r="A20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7</v>
      </c>
      <c r="B24" s="9"/>
      <c r="C24" s="9"/>
      <c r="D24" s="9"/>
      <c r="E24" s="9"/>
      <c r="F24" s="9"/>
      <c r="G24" s="9"/>
      <c r="H24" s="9"/>
      <c r="I24" s="9"/>
      <c r="J24" s="9"/>
    </row>
    <row r="25">
      <c r="A25" s="10" t="s">
        <v>23</v>
      </c>
      <c r="B25" s="9"/>
      <c r="C25" s="9"/>
      <c r="D25" s="9"/>
      <c r="E25" s="9"/>
      <c r="F25" s="9"/>
      <c r="G25" s="9"/>
      <c r="H25" s="9"/>
      <c r="I25" s="9"/>
      <c r="J25" s="9"/>
    </row>
    <row r="26">
      <c r="A26" s="11"/>
      <c r="B26" s="9"/>
      <c r="C26" s="9"/>
      <c r="D26" s="9"/>
      <c r="E26" s="9"/>
      <c r="F26" s="9"/>
      <c r="G26" s="9"/>
      <c r="H26" s="9"/>
      <c r="I26" s="9"/>
      <c r="J26" s="9"/>
    </row>
    <row r="27">
      <c r="A27" s="12" t="s">
        <v>24</v>
      </c>
      <c r="B27" s="12" t="s">
        <v>25</v>
      </c>
      <c r="C27" s="12" t="s">
        <v>26</v>
      </c>
      <c r="D27" s="12" t="s">
        <v>27</v>
      </c>
      <c r="E27" s="9"/>
      <c r="F27" s="12" t="s">
        <v>24</v>
      </c>
      <c r="G27" s="12" t="s">
        <v>25</v>
      </c>
      <c r="H27" s="12" t="s">
        <v>26</v>
      </c>
      <c r="I27" s="12" t="s">
        <v>27</v>
      </c>
      <c r="J27" s="9"/>
    </row>
    <row r="28">
      <c r="A28" s="8" t="s">
        <v>28</v>
      </c>
      <c r="B28" s="8" t="s">
        <v>29</v>
      </c>
      <c r="C28" s="8" t="s">
        <v>30</v>
      </c>
      <c r="D28" s="8" t="s">
        <v>31</v>
      </c>
      <c r="E28" s="9"/>
      <c r="F28" s="8" t="s">
        <v>28</v>
      </c>
      <c r="G28" s="8" t="s">
        <v>29</v>
      </c>
      <c r="H28" s="8" t="s">
        <v>30</v>
      </c>
      <c r="I28" s="8" t="s">
        <v>32</v>
      </c>
      <c r="J28" s="9"/>
    </row>
    <row r="29">
      <c r="A29" s="8" t="s">
        <v>33</v>
      </c>
      <c r="B29" s="8" t="s">
        <v>34</v>
      </c>
      <c r="C29" s="8" t="s">
        <v>35</v>
      </c>
      <c r="D29" s="8" t="s">
        <v>36</v>
      </c>
      <c r="E29" s="9"/>
      <c r="F29" s="8" t="s">
        <v>33</v>
      </c>
      <c r="G29" s="8" t="s">
        <v>34</v>
      </c>
      <c r="H29" s="8" t="s">
        <v>35</v>
      </c>
      <c r="I29" s="8" t="s">
        <v>37</v>
      </c>
      <c r="J29" s="9"/>
    </row>
    <row r="30">
      <c r="A30" s="8" t="s">
        <v>38</v>
      </c>
      <c r="B30" s="8" t="s">
        <v>39</v>
      </c>
      <c r="C30" s="8" t="s">
        <v>40</v>
      </c>
      <c r="D30" s="8" t="s">
        <v>41</v>
      </c>
      <c r="E30" s="9"/>
      <c r="F30" s="9"/>
      <c r="G30" s="9"/>
      <c r="H30" s="9"/>
      <c r="I30" s="9"/>
      <c r="J30" s="9"/>
    </row>
    <row r="31">
      <c r="A31" s="8" t="s">
        <v>42</v>
      </c>
      <c r="B31" s="8" t="s">
        <v>43</v>
      </c>
      <c r="C31" s="8" t="s">
        <v>44</v>
      </c>
      <c r="D31" s="8" t="s">
        <v>45</v>
      </c>
      <c r="E31" s="9"/>
      <c r="F31" s="9"/>
      <c r="G31" s="9"/>
      <c r="H31" s="9"/>
      <c r="I31" s="9"/>
      <c r="J31" s="9"/>
    </row>
    <row r="32">
      <c r="A32" s="11"/>
      <c r="B32" s="9"/>
      <c r="C32" s="9"/>
      <c r="D32" s="9"/>
      <c r="E32" s="9"/>
      <c r="F32" s="9"/>
      <c r="G32" s="9"/>
      <c r="H32" s="9"/>
      <c r="I32" s="9"/>
      <c r="J32" s="9"/>
    </row>
    <row r="33">
      <c r="A33" s="10" t="s">
        <v>46</v>
      </c>
      <c r="B33" s="9"/>
      <c r="C33" s="9"/>
      <c r="D33" s="9"/>
      <c r="E33" s="9"/>
      <c r="F33" s="9"/>
      <c r="G33" s="9"/>
      <c r="H33" s="9"/>
      <c r="I33" s="9"/>
      <c r="J33" s="9"/>
    </row>
    <row r="34">
      <c r="A34" s="3" t="s">
        <v>47</v>
      </c>
      <c r="B34" s="9"/>
      <c r="C34" s="9"/>
      <c r="D34" s="9"/>
      <c r="E34" s="9"/>
      <c r="F34" s="9"/>
      <c r="G34" s="9"/>
      <c r="H34" s="9"/>
      <c r="I34" s="9"/>
      <c r="J34" s="9"/>
    </row>
    <row r="35">
      <c r="A35" s="11" t="s">
        <v>48</v>
      </c>
      <c r="B35" s="9"/>
      <c r="C35" s="9"/>
      <c r="D35" s="9"/>
      <c r="E35" s="9"/>
      <c r="F35" s="9"/>
      <c r="G35" s="9"/>
      <c r="H35" s="9"/>
      <c r="I35" s="9"/>
      <c r="J35" s="9"/>
    </row>
    <row r="36">
      <c r="A36" s="11"/>
      <c r="B36" s="9"/>
      <c r="C36" s="9"/>
      <c r="D36" s="9"/>
      <c r="E36" s="9"/>
      <c r="F36" s="9"/>
      <c r="G36" s="9"/>
      <c r="H36" s="9"/>
      <c r="I36" s="9"/>
      <c r="J36" s="9"/>
    </row>
    <row r="38">
      <c r="A38" s="1" t="s">
        <v>49</v>
      </c>
    </row>
    <row r="39">
      <c r="A39" s="3" t="s">
        <v>50</v>
      </c>
    </row>
    <row r="40">
      <c r="A40" s="3" t="s">
        <v>51</v>
      </c>
    </row>
    <row r="42">
      <c r="A42" s="13" t="s">
        <v>52</v>
      </c>
      <c r="B42" s="14"/>
    </row>
    <row r="43">
      <c r="A43" s="15" t="s">
        <v>53</v>
      </c>
      <c r="B43" s="16"/>
    </row>
    <row r="44">
      <c r="A44" s="15" t="s">
        <v>54</v>
      </c>
      <c r="B44" s="16"/>
    </row>
    <row r="45">
      <c r="A45" s="15" t="s">
        <v>55</v>
      </c>
      <c r="B45" s="16"/>
    </row>
    <row r="46">
      <c r="A46" s="17"/>
      <c r="B46" s="16"/>
    </row>
    <row r="47">
      <c r="A47" s="18" t="s">
        <v>56</v>
      </c>
      <c r="B47" s="19"/>
    </row>
    <row r="51">
      <c r="A51" s="13" t="s">
        <v>57</v>
      </c>
      <c r="B51" s="20"/>
      <c r="C51" s="20"/>
      <c r="D51" s="20"/>
      <c r="E51" s="20"/>
      <c r="F51" s="20"/>
      <c r="G51" s="20"/>
      <c r="H51" s="14"/>
    </row>
    <row r="52">
      <c r="A52" s="17"/>
      <c r="H52" s="16"/>
    </row>
    <row r="53">
      <c r="A53" s="17"/>
      <c r="H53" s="16"/>
    </row>
    <row r="54">
      <c r="A54" s="15" t="s">
        <v>58</v>
      </c>
      <c r="H54" s="16"/>
    </row>
    <row r="55">
      <c r="A55" s="15" t="s">
        <v>59</v>
      </c>
      <c r="H55" s="16"/>
    </row>
    <row r="56">
      <c r="A56" s="17"/>
      <c r="H56" s="16"/>
    </row>
    <row r="57">
      <c r="A57" s="18" t="s">
        <v>60</v>
      </c>
      <c r="B57" s="21"/>
      <c r="C57" s="21"/>
      <c r="D57" s="21"/>
      <c r="E57" s="21"/>
      <c r="F57" s="21"/>
      <c r="G57" s="21"/>
      <c r="H57" s="19"/>
    </row>
    <row r="67">
      <c r="A67" s="13" t="s">
        <v>61</v>
      </c>
      <c r="B67" s="20"/>
      <c r="C67" s="20"/>
      <c r="D67" s="20"/>
      <c r="E67" s="20"/>
      <c r="F67" s="20"/>
      <c r="G67" s="20"/>
      <c r="H67" s="14"/>
    </row>
    <row r="68">
      <c r="A68" s="17"/>
      <c r="H68" s="16"/>
    </row>
    <row r="69">
      <c r="A69" s="15" t="s">
        <v>62</v>
      </c>
      <c r="H69" s="16"/>
    </row>
    <row r="70">
      <c r="A70" s="15" t="s">
        <v>63</v>
      </c>
      <c r="H70" s="16"/>
    </row>
    <row r="71">
      <c r="A71" s="17"/>
      <c r="H71" s="16"/>
    </row>
    <row r="72">
      <c r="A72" s="18" t="s">
        <v>64</v>
      </c>
      <c r="B72" s="21"/>
      <c r="C72" s="21"/>
      <c r="D72" s="21"/>
      <c r="E72" s="21"/>
      <c r="F72" s="21"/>
      <c r="G72" s="21"/>
      <c r="H72" s="19"/>
    </row>
    <row r="85">
      <c r="A85" s="13" t="s">
        <v>65</v>
      </c>
      <c r="B85" s="22"/>
      <c r="C85" s="22"/>
      <c r="D85" s="14"/>
    </row>
    <row r="86">
      <c r="A86" s="17"/>
      <c r="D86" s="16"/>
    </row>
    <row r="87">
      <c r="A87" s="15" t="s">
        <v>66</v>
      </c>
      <c r="D87" s="16"/>
    </row>
    <row r="88">
      <c r="A88" s="17"/>
      <c r="D88" s="16"/>
    </row>
    <row r="89">
      <c r="A89" s="15" t="s">
        <v>67</v>
      </c>
      <c r="D89" s="16"/>
    </row>
    <row r="90">
      <c r="A90" s="17"/>
      <c r="D90" s="16"/>
    </row>
    <row r="91">
      <c r="A91" s="23" t="s">
        <v>68</v>
      </c>
      <c r="D91" s="16"/>
    </row>
    <row r="92">
      <c r="A92" s="18" t="s">
        <v>69</v>
      </c>
      <c r="B92" s="21"/>
      <c r="C92" s="21"/>
      <c r="D92" s="19"/>
    </row>
    <row r="96">
      <c r="A96" s="3" t="s">
        <v>70</v>
      </c>
    </row>
    <row r="98">
      <c r="A98" s="24" t="s">
        <v>71</v>
      </c>
    </row>
    <row r="100">
      <c r="A100" s="3" t="s">
        <v>72</v>
      </c>
    </row>
    <row r="101">
      <c r="A101" s="25" t="s">
        <v>73</v>
      </c>
      <c r="B101" s="26"/>
      <c r="C101" s="26"/>
      <c r="D101" s="26"/>
    </row>
    <row r="102">
      <c r="A102" s="25" t="s">
        <v>74</v>
      </c>
      <c r="B102" s="26"/>
      <c r="C102" s="26"/>
      <c r="D102" s="26"/>
    </row>
    <row r="104">
      <c r="A104" s="3" t="s">
        <v>75</v>
      </c>
    </row>
    <row r="106">
      <c r="A106" s="3" t="s">
        <v>76</v>
      </c>
    </row>
    <row r="107">
      <c r="A107" s="3" t="s">
        <v>77</v>
      </c>
    </row>
    <row r="108">
      <c r="A108" s="3" t="s">
        <v>78</v>
      </c>
    </row>
    <row r="109">
      <c r="A109" s="3" t="s">
        <v>79</v>
      </c>
      <c r="B109" s="3" t="s">
        <v>80</v>
      </c>
      <c r="C109" s="3" t="s">
        <v>81</v>
      </c>
      <c r="D109" s="3" t="s">
        <v>82</v>
      </c>
    </row>
    <row r="110">
      <c r="A110" s="3" t="s">
        <v>83</v>
      </c>
      <c r="B110" s="3" t="s">
        <v>84</v>
      </c>
      <c r="C110" s="3" t="s">
        <v>85</v>
      </c>
      <c r="D110" s="3" t="s">
        <v>86</v>
      </c>
    </row>
    <row r="111">
      <c r="A111" s="3" t="s">
        <v>87</v>
      </c>
    </row>
    <row r="113">
      <c r="A113" s="3" t="s">
        <v>88</v>
      </c>
    </row>
    <row r="114">
      <c r="A114" s="3" t="s">
        <v>89</v>
      </c>
    </row>
    <row r="116">
      <c r="A116" s="3" t="s">
        <v>90</v>
      </c>
    </row>
    <row r="141">
      <c r="A141" s="27" t="s">
        <v>91</v>
      </c>
      <c r="B141" s="3" t="s">
        <v>92</v>
      </c>
    </row>
    <row r="143">
      <c r="A143" s="3" t="s">
        <v>93</v>
      </c>
    </row>
    <row r="145">
      <c r="A145" s="3" t="s">
        <v>94</v>
      </c>
    </row>
    <row r="146">
      <c r="A146" s="3" t="s">
        <v>95</v>
      </c>
    </row>
    <row r="152">
      <c r="A152" s="28" t="s">
        <v>96</v>
      </c>
      <c r="B152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" t="s">
        <v>97</v>
      </c>
    </row>
    <row r="4">
      <c r="B4" s="3" t="s">
        <v>98</v>
      </c>
    </row>
    <row r="5">
      <c r="B5" s="3">
        <v>1.0</v>
      </c>
      <c r="C5" s="3" t="s">
        <v>99</v>
      </c>
    </row>
    <row r="6">
      <c r="B6" s="3">
        <v>2.0</v>
      </c>
      <c r="C6" s="3" t="s">
        <v>100</v>
      </c>
    </row>
    <row r="7">
      <c r="B7" s="3">
        <v>3.0</v>
      </c>
      <c r="C7" s="3" t="s">
        <v>101</v>
      </c>
    </row>
    <row r="10">
      <c r="B10" s="27" t="s">
        <v>102</v>
      </c>
      <c r="G10" s="3" t="s">
        <v>103</v>
      </c>
    </row>
    <row r="11">
      <c r="B11" s="3">
        <v>12.0</v>
      </c>
      <c r="C11" s="3">
        <v>1.0</v>
      </c>
      <c r="D11" s="3">
        <v>12.0</v>
      </c>
      <c r="E11" s="3">
        <v>5.0</v>
      </c>
      <c r="G11" s="30">
        <f>SUM(B11:E11)</f>
        <v>30</v>
      </c>
    </row>
    <row r="12">
      <c r="B12" s="3" t="s">
        <v>104</v>
      </c>
      <c r="C12" s="3" t="s">
        <v>105</v>
      </c>
      <c r="D12" s="3" t="s">
        <v>106</v>
      </c>
      <c r="E12" s="3" t="s">
        <v>107</v>
      </c>
    </row>
    <row r="15">
      <c r="B15" s="3" t="s">
        <v>108</v>
      </c>
    </row>
    <row r="17">
      <c r="B17" s="3" t="s">
        <v>109</v>
      </c>
      <c r="C17" s="3" t="s">
        <v>110</v>
      </c>
      <c r="D17" s="3" t="s">
        <v>111</v>
      </c>
    </row>
    <row r="18">
      <c r="B18" s="3">
        <v>2.0</v>
      </c>
      <c r="C18" s="3">
        <v>6.0</v>
      </c>
      <c r="D18" s="30">
        <f>B18*C18</f>
        <v>12</v>
      </c>
    </row>
    <row r="21">
      <c r="B21" s="27" t="s">
        <v>112</v>
      </c>
      <c r="H21" s="3" t="s">
        <v>113</v>
      </c>
    </row>
    <row r="22">
      <c r="B22" s="3">
        <v>2.0</v>
      </c>
      <c r="C22" s="3">
        <v>6.0</v>
      </c>
      <c r="D22" s="3">
        <v>30.0</v>
      </c>
      <c r="E22" s="30">
        <f>(B22*C22)*D22</f>
        <v>360</v>
      </c>
      <c r="F22" s="30">
        <f>E22/60</f>
        <v>6</v>
      </c>
      <c r="H22" s="30">
        <f>E22/1.5</f>
        <v>240</v>
      </c>
    </row>
    <row r="23">
      <c r="B23" s="3" t="s">
        <v>114</v>
      </c>
      <c r="C23" s="3" t="s">
        <v>115</v>
      </c>
      <c r="D23" s="3" t="s">
        <v>116</v>
      </c>
      <c r="E23" s="3" t="s">
        <v>117</v>
      </c>
      <c r="F23" s="3" t="s">
        <v>118</v>
      </c>
      <c r="H23" s="3" t="s">
        <v>119</v>
      </c>
    </row>
    <row r="26">
      <c r="B26" s="3" t="s">
        <v>120</v>
      </c>
      <c r="C26" s="3" t="s">
        <v>121</v>
      </c>
    </row>
    <row r="27">
      <c r="B27" s="3">
        <v>3.0</v>
      </c>
      <c r="C27" s="30">
        <f>B27*F22</f>
        <v>18</v>
      </c>
    </row>
  </sheetData>
  <drawing r:id="rId1"/>
</worksheet>
</file>